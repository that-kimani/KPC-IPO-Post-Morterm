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ortfolio Projects\KPC IPO Post-Morterm\"/>
    </mc:Choice>
  </mc:AlternateContent>
  <xr:revisionPtr revIDLastSave="0" documentId="13_ncr:1_{79F5D096-BCA4-419C-B5CE-6849777387EC}" xr6:coauthVersionLast="47" xr6:coauthVersionMax="47" xr10:uidLastSave="{00000000-0000-0000-0000-000000000000}"/>
  <bookViews>
    <workbookView xWindow="28680" yWindow="-1050" windowWidth="29040" windowHeight="18240" activeTab="2" xr2:uid="{00000000-000D-0000-FFFF-FFFF00000000}"/>
  </bookViews>
  <sheets>
    <sheet name="DCF" sheetId="1" r:id="rId1"/>
    <sheet name="Sensitivity Analysis" sheetId="2" r:id="rId2"/>
    <sheet name="Relative Valuation" sheetId="3" r:id="rId3"/>
    <sheet name="Football Field Cha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9" i="2" l="1"/>
  <c r="L40" i="1"/>
  <c r="L36" i="1"/>
  <c r="G26" i="3"/>
  <c r="D22" i="3"/>
  <c r="D24" i="3" s="1"/>
  <c r="I15" i="3"/>
  <c r="I17" i="3" s="1"/>
  <c r="G7" i="3"/>
  <c r="I12" i="3" s="1"/>
  <c r="F7" i="3"/>
  <c r="D12" i="3" s="1"/>
  <c r="D13" i="3" s="1"/>
  <c r="C7" i="2"/>
  <c r="L48" i="1"/>
  <c r="D27" i="1" s="1"/>
  <c r="P26" i="1"/>
  <c r="L25" i="1"/>
  <c r="L29" i="1" s="1"/>
  <c r="E21" i="1"/>
  <c r="L19" i="1"/>
  <c r="D8" i="1" s="1"/>
  <c r="E19" i="1"/>
  <c r="O18" i="1"/>
  <c r="O19" i="1" s="1"/>
  <c r="G8" i="1" s="1"/>
  <c r="G9" i="1" s="1"/>
  <c r="D19" i="1" s="1"/>
  <c r="F19" i="1" s="1"/>
  <c r="N18" i="1"/>
  <c r="N19" i="1" s="1"/>
  <c r="F8" i="1" s="1"/>
  <c r="M18" i="1"/>
  <c r="M19" i="1" s="1"/>
  <c r="E8" i="1" s="1"/>
  <c r="L18" i="1"/>
  <c r="E18" i="1"/>
  <c r="E17" i="1"/>
  <c r="E16" i="1"/>
  <c r="E15" i="1"/>
  <c r="G7" i="1"/>
  <c r="F7" i="1"/>
  <c r="E7" i="1"/>
  <c r="D7" i="1"/>
  <c r="C7" i="1"/>
  <c r="G5" i="1"/>
  <c r="L28" i="1" s="1"/>
  <c r="L30" i="1" s="1"/>
  <c r="P25" i="1" s="1"/>
  <c r="P28" i="1" s="1"/>
  <c r="D21" i="1" s="1"/>
  <c r="F21" i="1" s="1"/>
  <c r="E5" i="1"/>
  <c r="D5" i="1"/>
  <c r="D9" i="1" s="1"/>
  <c r="D16" i="1" s="1"/>
  <c r="F16" i="1" s="1"/>
  <c r="G4" i="1"/>
  <c r="F4" i="1"/>
  <c r="F5" i="1" s="1"/>
  <c r="F9" i="1" s="1"/>
  <c r="D18" i="1" s="1"/>
  <c r="F18" i="1" s="1"/>
  <c r="E4" i="1"/>
  <c r="D4" i="1"/>
  <c r="C4" i="1"/>
  <c r="C5" i="1" s="1"/>
  <c r="C9" i="1" s="1"/>
  <c r="G24" i="3" l="1"/>
  <c r="D15" i="3"/>
  <c r="E9" i="1"/>
  <c r="D17" i="1" s="1"/>
  <c r="F17" i="1" s="1"/>
  <c r="G25" i="3"/>
  <c r="I19" i="3"/>
  <c r="C29" i="2"/>
  <c r="C27" i="2"/>
  <c r="C21" i="2"/>
  <c r="F28" i="2"/>
  <c r="F22" i="2"/>
  <c r="F20" i="2"/>
  <c r="C10" i="2"/>
  <c r="E28" i="2"/>
  <c r="E22" i="2"/>
  <c r="E20" i="2"/>
  <c r="D28" i="2"/>
  <c r="D22" i="2"/>
  <c r="D20" i="2"/>
  <c r="C28" i="2"/>
  <c r="C22" i="2"/>
  <c r="C20" i="2"/>
  <c r="D15" i="1"/>
  <c r="F15" i="1" s="1"/>
  <c r="F20" i="1" s="1"/>
  <c r="F22" i="1" s="1"/>
  <c r="D26" i="1" s="1"/>
  <c r="D28" i="1" s="1"/>
  <c r="D33" i="1" s="1"/>
  <c r="F29" i="2"/>
  <c r="F27" i="2"/>
  <c r="F21" i="2"/>
  <c r="E27" i="2"/>
  <c r="E21" i="2"/>
  <c r="D29" i="2"/>
  <c r="D27" i="2"/>
  <c r="D21" i="2"/>
  <c r="C8" i="2"/>
  <c r="C9" i="2" s="1"/>
  <c r="C11" i="2" s="1"/>
  <c r="C12" i="2" l="1"/>
  <c r="C13" i="2" s="1"/>
  <c r="C14" i="2" s="1"/>
</calcChain>
</file>

<file path=xl/sharedStrings.xml><?xml version="1.0" encoding="utf-8"?>
<sst xmlns="http://schemas.openxmlformats.org/spreadsheetml/2006/main" count="175" uniqueCount="128">
  <si>
    <t>FCFF Projection</t>
  </si>
  <si>
    <t>FY2026</t>
  </si>
  <si>
    <t>FY2027</t>
  </si>
  <si>
    <t>FY2028</t>
  </si>
  <si>
    <t>FY2029</t>
  </si>
  <si>
    <t>FY2030</t>
  </si>
  <si>
    <t>Operating profit (Estimates)</t>
  </si>
  <si>
    <t>Less Corporate tax</t>
  </si>
  <si>
    <t>CAPEX Estimations</t>
  </si>
  <si>
    <t>NOPAT</t>
  </si>
  <si>
    <t>+ D&amp;A</t>
  </si>
  <si>
    <t>Less Total Capex</t>
  </si>
  <si>
    <t>Sustaining capex</t>
  </si>
  <si>
    <t>ΔWC</t>
  </si>
  <si>
    <t>New-project capex</t>
  </si>
  <si>
    <t>FCFF</t>
  </si>
  <si>
    <t>Total capex</t>
  </si>
  <si>
    <t>Discount Table</t>
  </si>
  <si>
    <t>FY</t>
  </si>
  <si>
    <t>Year</t>
  </si>
  <si>
    <t>Discount factor</t>
  </si>
  <si>
    <t>PV of FCFF</t>
  </si>
  <si>
    <t>Changes in Working Capital</t>
  </si>
  <si>
    <t>Revenue</t>
  </si>
  <si>
    <t>ΔRevenue</t>
  </si>
  <si>
    <t>-</t>
  </si>
  <si>
    <t>ΔWC (10%)</t>
  </si>
  <si>
    <t>Subtotal</t>
  </si>
  <si>
    <t>Terminal Value</t>
  </si>
  <si>
    <t>Enterprise Value</t>
  </si>
  <si>
    <t>Reinvestment rate</t>
  </si>
  <si>
    <t>Growth</t>
  </si>
  <si>
    <t>ROIC</t>
  </si>
  <si>
    <t>Equity Value( Kes '000)</t>
  </si>
  <si>
    <t>Normalized FCFF</t>
  </si>
  <si>
    <t>Growth(g)</t>
  </si>
  <si>
    <t>Net Cash</t>
  </si>
  <si>
    <t>WACC</t>
  </si>
  <si>
    <t>Equity value</t>
  </si>
  <si>
    <t>NOPAT FY2030</t>
  </si>
  <si>
    <t>Share Value</t>
  </si>
  <si>
    <t>Shares to be Issued</t>
  </si>
  <si>
    <t>Net Cash( FY2025 )</t>
  </si>
  <si>
    <t>Cash and bank Balances</t>
  </si>
  <si>
    <t>Borrowings</t>
  </si>
  <si>
    <t>Calculation Block</t>
  </si>
  <si>
    <t>Label</t>
  </si>
  <si>
    <t>Formula / Value</t>
  </si>
  <si>
    <t>Terminal growth (g)</t>
  </si>
  <si>
    <t>Terminal ROIC</t>
  </si>
  <si>
    <t>Reinvestment Rate</t>
  </si>
  <si>
    <t>PV of explicit FCFFs</t>
  </si>
  <si>
    <t>PV of Terminal Value</t>
  </si>
  <si>
    <t>Equity Value</t>
  </si>
  <si>
    <t>Value per share</t>
  </si>
  <si>
    <t>Sensitivity Table 1: WACC x Growth</t>
  </si>
  <si>
    <t>B</t>
  </si>
  <si>
    <t>C</t>
  </si>
  <si>
    <t>D</t>
  </si>
  <si>
    <t>Growth ↓ / WACC →</t>
  </si>
  <si>
    <t>Sensitivity Table 2: WACC x Terminal ROIC</t>
  </si>
  <si>
    <t>ROIC ↓ / WACC →</t>
  </si>
  <si>
    <t>Peer Set</t>
  </si>
  <si>
    <t>Peer</t>
  </si>
  <si>
    <t>P/E</t>
  </si>
  <si>
    <t>EV/EBITDA</t>
  </si>
  <si>
    <t>TotalEnergies Marketing Kenya</t>
  </si>
  <si>
    <t>Vivo Energy Mauritius</t>
  </si>
  <si>
    <t>Umeme(Uganda)</t>
  </si>
  <si>
    <t>n/a</t>
  </si>
  <si>
    <t>Peer Median</t>
  </si>
  <si>
    <t>Peer P/E Multiple to KPC</t>
  </si>
  <si>
    <t>Peer EV/EBITDA Multiple to KPC</t>
  </si>
  <si>
    <t>KPC FY2025 EPS</t>
  </si>
  <si>
    <t>KPC FY2025 EBITDA</t>
  </si>
  <si>
    <t>Peer Median P/E</t>
  </si>
  <si>
    <t>Peer Median EV/EBITDA</t>
  </si>
  <si>
    <t>Implied Share Value</t>
  </si>
  <si>
    <t>Implied Enterprise Value</t>
  </si>
  <si>
    <t>IPO Price</t>
  </si>
  <si>
    <t xml:space="preserve"> + Net Cash</t>
  </si>
  <si>
    <t>Implied Downside</t>
  </si>
  <si>
    <t>Implied Equity Value</t>
  </si>
  <si>
    <t>Shares Outstanding</t>
  </si>
  <si>
    <t>Old Mutual P/E Multiple to KPC</t>
  </si>
  <si>
    <t>Summary of Relative Valuation</t>
  </si>
  <si>
    <t>Method</t>
  </si>
  <si>
    <t>Implied Value per Share</t>
  </si>
  <si>
    <t>vs IPO (KES 9.00)</t>
  </si>
  <si>
    <t>P/E at peer median (15.0x)</t>
  </si>
  <si>
    <t>EV/EBITDA at peer median (6.03x)</t>
  </si>
  <si>
    <t>P/E at Old Mutual target (11.0x)</t>
  </si>
  <si>
    <t>−50%</t>
  </si>
  <si>
    <t>Relative valuation range</t>
  </si>
  <si>
    <t>KES 4.53 – 6.64</t>
  </si>
  <si>
    <t>−26% to −50%</t>
  </si>
  <si>
    <t>Low (KES)</t>
  </si>
  <si>
    <t>High (KES)</t>
  </si>
  <si>
    <t>Midpoint (KES)</t>
  </si>
  <si>
    <t>DCF — base case</t>
  </si>
  <si>
    <t>DCF — sensitivity range</t>
  </si>
  <si>
    <t>Relative — P/E (peer median, 15.0x)</t>
  </si>
  <si>
    <t>Relative — EV/EBITDA (peer median, 6.03x)</t>
  </si>
  <si>
    <t>Relative — Old Mutual target P/E (11.0x)</t>
  </si>
  <si>
    <t>Independent analysts' range</t>
  </si>
  <si>
    <t>IPO offer price</t>
  </si>
  <si>
    <t>Debt Value</t>
  </si>
  <si>
    <t>Return on Equity</t>
  </si>
  <si>
    <t>Return on Debt</t>
  </si>
  <si>
    <t>Corporate Tax</t>
  </si>
  <si>
    <t>WACC (KES '000)</t>
  </si>
  <si>
    <t>Capital value</t>
  </si>
  <si>
    <t xml:space="preserve"> </t>
  </si>
  <si>
    <t>Value</t>
  </si>
  <si>
    <t>Source</t>
  </si>
  <si>
    <t>Risk-free rate</t>
  </si>
  <si>
    <t>Kenya 10-year bond, Jan 2026</t>
  </si>
  <si>
    <t>Beta</t>
  </si>
  <si>
    <t>Bottom-up, oil/gas distribution</t>
  </si>
  <si>
    <t>Equity risk premium</t>
  </si>
  <si>
    <t>Damodaran, country-risk adjusted</t>
  </si>
  <si>
    <t>Calculated</t>
  </si>
  <si>
    <t>Terminal growth</t>
  </si>
  <si>
    <t>Conservative vs nominal GDP</t>
  </si>
  <si>
    <t>Consistent with historical 9.3%</t>
  </si>
  <si>
    <t>Input</t>
  </si>
  <si>
    <t>DCF Key Assumptions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</si>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</sst>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\(#,##0\)"/>
    <numFmt numFmtId="166" formatCode="0.0000"/>
    <numFmt numFmtId="167" formatCode="_-[$KES]\ * #,##0.00_-;\-[$KES]\ * #,##0.00_-;_-[$KES]\ * &quot;-&quot;??_-;_-@_-"/>
    <numFmt numFmtId="170" formatCode="_-[$KES]\ * #,##0_-;\-[$KES]\ * #,##0_-;_-[$KES]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8"/>
      <color theme="1"/>
      <name val="Segoe UI"/>
      <family val="2"/>
    </font>
    <font>
      <sz val="9"/>
      <color theme="1"/>
      <name val="Calibri"/>
      <family val="2"/>
      <scheme val="minor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11"/>
      <color theme="1" tint="0.249977111117893"/>
      <name val="Calibri"/>
      <family val="2"/>
      <scheme val="minor"/>
    </font>
    <font>
      <b/>
      <sz val="8"/>
      <color theme="1"/>
      <name val="Segoe UI"/>
      <family val="2"/>
    </font>
    <font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28">
    <xf numFmtId="0" fontId="0" fillId="0" borderId="0" xfId="0"/>
    <xf numFmtId="3" fontId="3" fillId="2" borderId="0" xfId="0" applyNumberFormat="1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 indent="1"/>
    </xf>
    <xf numFmtId="0" fontId="4" fillId="3" borderId="5" xfId="0" applyFont="1" applyFill="1" applyBorder="1" applyAlignment="1">
      <alignment horizontal="center" wrapText="1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 indent="1"/>
    </xf>
    <xf numFmtId="0" fontId="8" fillId="3" borderId="5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wrapText="1"/>
    </xf>
    <xf numFmtId="0" fontId="4" fillId="6" borderId="0" xfId="0" applyFont="1" applyFill="1"/>
    <xf numFmtId="0" fontId="0" fillId="6" borderId="0" xfId="0" applyFill="1"/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5" borderId="0" xfId="0" applyFill="1"/>
    <xf numFmtId="0" fontId="3" fillId="5" borderId="5" xfId="0" applyFont="1" applyFill="1" applyBorder="1" applyAlignment="1">
      <alignment horizontal="center" vertical="center" wrapText="1"/>
    </xf>
    <xf numFmtId="3" fontId="4" fillId="5" borderId="0" xfId="0" quotePrefix="1" applyNumberFormat="1" applyFont="1" applyFill="1"/>
    <xf numFmtId="9" fontId="0" fillId="7" borderId="16" xfId="0" applyNumberFormat="1" applyFill="1" applyBorder="1"/>
    <xf numFmtId="3" fontId="4" fillId="7" borderId="13" xfId="0" applyNumberFormat="1" applyFont="1" applyFill="1" applyBorder="1"/>
    <xf numFmtId="9" fontId="4" fillId="7" borderId="16" xfId="0" applyNumberFormat="1" applyFont="1" applyFill="1" applyBorder="1"/>
    <xf numFmtId="0" fontId="5" fillId="7" borderId="5" xfId="0" applyFont="1" applyFill="1" applyBorder="1" applyAlignment="1">
      <alignment horizontal="left" vertical="center" wrapText="1" indent="1"/>
    </xf>
    <xf numFmtId="0" fontId="6" fillId="7" borderId="6" xfId="0" applyFont="1" applyFill="1" applyBorder="1" applyAlignment="1">
      <alignment horizontal="left" vertical="center" wrapText="1" indent="1"/>
    </xf>
    <xf numFmtId="0" fontId="6" fillId="7" borderId="7" xfId="0" applyFont="1" applyFill="1" applyBorder="1" applyAlignment="1">
      <alignment horizontal="left" vertical="center" wrapText="1" indent="1"/>
    </xf>
    <xf numFmtId="0" fontId="4" fillId="7" borderId="5" xfId="0" applyFont="1" applyFill="1" applyBorder="1" applyAlignment="1">
      <alignment horizontal="center" wrapText="1"/>
    </xf>
    <xf numFmtId="0" fontId="6" fillId="7" borderId="5" xfId="0" applyFont="1" applyFill="1" applyBorder="1" applyAlignment="1">
      <alignment horizontal="left" vertical="center" wrapText="1" indent="1"/>
    </xf>
    <xf numFmtId="0" fontId="4" fillId="7" borderId="10" xfId="0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3" fontId="0" fillId="7" borderId="13" xfId="0" applyNumberFormat="1" applyFill="1" applyBorder="1"/>
    <xf numFmtId="0" fontId="4" fillId="7" borderId="15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0" fontId="4" fillId="7" borderId="11" xfId="0" applyFont="1" applyFill="1" applyBorder="1" applyAlignment="1">
      <alignment horizontal="left"/>
    </xf>
    <xf numFmtId="0" fontId="4" fillId="7" borderId="3" xfId="0" applyFont="1" applyFill="1" applyBorder="1" applyAlignment="1">
      <alignment horizontal="left"/>
    </xf>
    <xf numFmtId="10" fontId="0" fillId="7" borderId="14" xfId="0" applyNumberFormat="1" applyFill="1" applyBorder="1"/>
    <xf numFmtId="9" fontId="4" fillId="6" borderId="4" xfId="1" applyNumberFormat="1" applyFont="1" applyFill="1" applyBorder="1"/>
    <xf numFmtId="0" fontId="4" fillId="5" borderId="5" xfId="0" applyFont="1" applyFill="1" applyBorder="1" applyAlignment="1">
      <alignment horizontal="center"/>
    </xf>
    <xf numFmtId="3" fontId="4" fillId="5" borderId="0" xfId="0" applyNumberFormat="1" applyFont="1" applyFill="1"/>
    <xf numFmtId="0" fontId="4" fillId="6" borderId="5" xfId="0" applyFont="1" applyFill="1" applyBorder="1" applyAlignment="1">
      <alignment horizontal="center"/>
    </xf>
    <xf numFmtId="3" fontId="4" fillId="6" borderId="0" xfId="0" applyNumberFormat="1" applyFont="1" applyFill="1" applyAlignment="1">
      <alignment horizontal="center" vertical="center"/>
    </xf>
    <xf numFmtId="9" fontId="4" fillId="7" borderId="13" xfId="0" applyNumberFormat="1" applyFont="1" applyFill="1" applyBorder="1"/>
    <xf numFmtId="0" fontId="4" fillId="0" borderId="0" xfId="0" applyFont="1"/>
    <xf numFmtId="3" fontId="4" fillId="0" borderId="0" xfId="0" applyNumberFormat="1" applyFont="1"/>
    <xf numFmtId="0" fontId="4" fillId="9" borderId="0" xfId="0" applyFont="1" applyFill="1"/>
    <xf numFmtId="9" fontId="4" fillId="0" borderId="0" xfId="0" applyNumberFormat="1" applyFont="1"/>
    <xf numFmtId="0" fontId="4" fillId="9" borderId="0" xfId="0" applyFont="1" applyFill="1" applyAlignment="1">
      <alignment horizontal="center" vertical="center"/>
    </xf>
    <xf numFmtId="0" fontId="4" fillId="5" borderId="0" xfId="0" applyFont="1" applyFill="1"/>
    <xf numFmtId="9" fontId="4" fillId="10" borderId="0" xfId="0" applyNumberFormat="1" applyFont="1" applyFill="1"/>
    <xf numFmtId="10" fontId="4" fillId="10" borderId="0" xfId="0" applyNumberFormat="1" applyFont="1" applyFill="1"/>
    <xf numFmtId="0" fontId="4" fillId="3" borderId="0" xfId="0" applyFont="1" applyFill="1"/>
    <xf numFmtId="0" fontId="4" fillId="0" borderId="0" xfId="0" applyFont="1" applyAlignment="1">
      <alignment horizontal="right"/>
    </xf>
    <xf numFmtId="2" fontId="4" fillId="6" borderId="0" xfId="0" applyNumberFormat="1" applyFont="1" applyFill="1"/>
    <xf numFmtId="9" fontId="0" fillId="11" borderId="0" xfId="2" applyFont="1" applyFill="1"/>
    <xf numFmtId="2" fontId="4" fillId="0" borderId="0" xfId="0" applyNumberFormat="1" applyFont="1"/>
    <xf numFmtId="9" fontId="4" fillId="11" borderId="0" xfId="2" applyFont="1" applyFill="1"/>
    <xf numFmtId="0" fontId="4" fillId="10" borderId="0" xfId="0" applyFont="1" applyFill="1"/>
    <xf numFmtId="9" fontId="4" fillId="0" borderId="0" xfId="0" quotePrefix="1" applyNumberFormat="1" applyFont="1" applyAlignment="1">
      <alignment horizontal="right"/>
    </xf>
    <xf numFmtId="9" fontId="4" fillId="0" borderId="0" xfId="0" applyNumberFormat="1" applyFont="1" applyAlignment="1">
      <alignment horizontal="right"/>
    </xf>
    <xf numFmtId="0" fontId="4" fillId="6" borderId="0" xfId="0" applyFont="1" applyFill="1" applyAlignment="1">
      <alignment horizontal="right"/>
    </xf>
    <xf numFmtId="0" fontId="11" fillId="2" borderId="5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0" fontId="10" fillId="10" borderId="5" xfId="0" applyFont="1" applyFill="1" applyBorder="1" applyAlignment="1">
      <alignment horizontal="left" vertical="center" wrapText="1" indent="1"/>
    </xf>
    <xf numFmtId="0" fontId="11" fillId="10" borderId="5" xfId="0" applyFont="1" applyFill="1" applyBorder="1" applyAlignment="1">
      <alignment horizontal="left" vertical="center" wrapText="1" indent="1"/>
    </xf>
    <xf numFmtId="0" fontId="12" fillId="10" borderId="5" xfId="0" applyFont="1" applyFill="1" applyBorder="1" applyAlignment="1">
      <alignment horizontal="left" vertical="center" wrapText="1" indent="1"/>
    </xf>
    <xf numFmtId="165" fontId="4" fillId="0" borderId="4" xfId="1" applyNumberFormat="1" applyFont="1" applyBorder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4" fontId="3" fillId="2" borderId="0" xfId="1" applyNumberFormat="1" applyFont="1" applyFill="1" applyAlignment="1">
      <alignment horizontal="right" vertical="center" wrapText="1"/>
    </xf>
    <xf numFmtId="43" fontId="4" fillId="0" borderId="4" xfId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164" fontId="4" fillId="5" borderId="0" xfId="1" applyNumberFormat="1" applyFont="1" applyFill="1" applyAlignment="1">
      <alignment horizontal="center"/>
    </xf>
    <xf numFmtId="166" fontId="4" fillId="0" borderId="0" xfId="0" applyNumberFormat="1" applyFont="1"/>
    <xf numFmtId="164" fontId="4" fillId="0" borderId="0" xfId="1" applyNumberFormat="1" applyFont="1"/>
    <xf numFmtId="164" fontId="3" fillId="2" borderId="9" xfId="1" applyNumberFormat="1" applyFont="1" applyFill="1" applyBorder="1" applyAlignment="1">
      <alignment horizontal="right" vertical="center" wrapText="1"/>
    </xf>
    <xf numFmtId="164" fontId="3" fillId="2" borderId="2" xfId="1" applyNumberFormat="1" applyFont="1" applyFill="1" applyBorder="1" applyAlignment="1">
      <alignment horizontal="right" vertical="center" wrapText="1"/>
    </xf>
    <xf numFmtId="164" fontId="3" fillId="2" borderId="12" xfId="1" applyNumberFormat="1" applyFont="1" applyFill="1" applyBorder="1" applyAlignment="1">
      <alignment horizontal="right" vertical="center" wrapText="1"/>
    </xf>
    <xf numFmtId="164" fontId="4" fillId="0" borderId="8" xfId="0" applyNumberFormat="1" applyFont="1" applyBorder="1"/>
    <xf numFmtId="164" fontId="4" fillId="0" borderId="13" xfId="0" applyNumberFormat="1" applyFont="1" applyBorder="1"/>
    <xf numFmtId="43" fontId="4" fillId="0" borderId="3" xfId="0" applyNumberFormat="1" applyFont="1" applyBorder="1"/>
    <xf numFmtId="43" fontId="4" fillId="0" borderId="14" xfId="0" applyNumberFormat="1" applyFont="1" applyBorder="1"/>
    <xf numFmtId="164" fontId="4" fillId="6" borderId="8" xfId="0" applyNumberFormat="1" applyFont="1" applyFill="1" applyBorder="1"/>
    <xf numFmtId="164" fontId="4" fillId="0" borderId="0" xfId="0" applyNumberFormat="1" applyFont="1"/>
    <xf numFmtId="164" fontId="4" fillId="0" borderId="4" xfId="1" applyNumberFormat="1" applyFont="1" applyBorder="1"/>
    <xf numFmtId="164" fontId="4" fillId="5" borderId="0" xfId="1" applyNumberFormat="1" applyFont="1" applyFill="1"/>
    <xf numFmtId="164" fontId="4" fillId="7" borderId="13" xfId="1" applyNumberFormat="1" applyFont="1" applyFill="1" applyBorder="1"/>
    <xf numFmtId="164" fontId="4" fillId="7" borderId="16" xfId="1" applyNumberFormat="1" applyFont="1" applyFill="1" applyBorder="1"/>
    <xf numFmtId="164" fontId="4" fillId="6" borderId="16" xfId="1" applyNumberFormat="1" applyFont="1" applyFill="1" applyBorder="1"/>
    <xf numFmtId="164" fontId="4" fillId="5" borderId="1" xfId="1" applyNumberFormat="1" applyFont="1" applyFill="1" applyBorder="1"/>
    <xf numFmtId="43" fontId="4" fillId="6" borderId="4" xfId="1" applyFont="1" applyFill="1" applyBorder="1"/>
    <xf numFmtId="167" fontId="9" fillId="8" borderId="4" xfId="1" applyNumberFormat="1" applyFont="1" applyFill="1" applyBorder="1"/>
    <xf numFmtId="43" fontId="4" fillId="7" borderId="13" xfId="1" applyFont="1" applyFill="1" applyBorder="1"/>
    <xf numFmtId="43" fontId="4" fillId="7" borderId="16" xfId="1" applyFont="1" applyFill="1" applyBorder="1"/>
    <xf numFmtId="43" fontId="4" fillId="5" borderId="4" xfId="1" applyFont="1" applyFill="1" applyBorder="1"/>
    <xf numFmtId="43" fontId="4" fillId="5" borderId="0" xfId="0" applyNumberFormat="1" applyFont="1" applyFill="1"/>
    <xf numFmtId="167" fontId="4" fillId="0" borderId="0" xfId="0" applyNumberFormat="1" applyFont="1"/>
    <xf numFmtId="167" fontId="4" fillId="5" borderId="0" xfId="0" applyNumberFormat="1" applyFont="1" applyFill="1"/>
    <xf numFmtId="0" fontId="0" fillId="0" borderId="0" xfId="0"/>
    <xf numFmtId="0" fontId="7" fillId="4" borderId="3" xfId="0" applyFont="1" applyFill="1" applyBorder="1" applyAlignment="1">
      <alignment horizontal="center" vertical="center"/>
    </xf>
    <xf numFmtId="0" fontId="0" fillId="0" borderId="0" xfId="0"/>
    <xf numFmtId="0" fontId="0" fillId="0" borderId="3" xfId="0" applyBorder="1"/>
    <xf numFmtId="0" fontId="4" fillId="4" borderId="3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0" fillId="0" borderId="8" xfId="0" applyBorder="1"/>
    <xf numFmtId="0" fontId="0" fillId="4" borderId="3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6" borderId="15" xfId="0" applyFont="1" applyFill="1" applyBorder="1" applyAlignment="1">
      <alignment horizontal="left"/>
    </xf>
    <xf numFmtId="0" fontId="0" fillId="4" borderId="0" xfId="0" applyFill="1" applyAlignment="1">
      <alignment horizontal="center"/>
    </xf>
    <xf numFmtId="0" fontId="4" fillId="0" borderId="0" xfId="0" applyFont="1"/>
    <xf numFmtId="0" fontId="4" fillId="4" borderId="0" xfId="0" applyFont="1" applyFill="1" applyAlignment="1">
      <alignment horizontal="center"/>
    </xf>
    <xf numFmtId="167" fontId="4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3" borderId="0" xfId="0" quotePrefix="1" applyFont="1" applyFill="1" applyAlignment="1">
      <alignment horizontal="center"/>
    </xf>
    <xf numFmtId="0" fontId="4" fillId="6" borderId="0" xfId="0" applyFont="1" applyFill="1" applyAlignment="1">
      <alignment horizontal="right"/>
    </xf>
    <xf numFmtId="0" fontId="4" fillId="10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0" fontId="0" fillId="0" borderId="0" xfId="0" applyBorder="1"/>
    <xf numFmtId="170" fontId="10" fillId="7" borderId="0" xfId="1" applyNumberFormat="1" applyFont="1" applyFill="1" applyBorder="1"/>
    <xf numFmtId="10" fontId="4" fillId="6" borderId="4" xfId="1" applyNumberFormat="1" applyFont="1" applyFill="1" applyBorder="1"/>
    <xf numFmtId="10" fontId="4" fillId="7" borderId="0" xfId="2" applyNumberFormat="1" applyFont="1" applyFill="1"/>
    <xf numFmtId="9" fontId="4" fillId="7" borderId="0" xfId="2" applyFont="1" applyFill="1"/>
    <xf numFmtId="0" fontId="0" fillId="0" borderId="0" xfId="0" applyAlignment="1">
      <alignment wrapText="1"/>
    </xf>
    <xf numFmtId="0" fontId="13" fillId="7" borderId="5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wrapText="1"/>
    </xf>
    <xf numFmtId="10" fontId="0" fillId="5" borderId="5" xfId="0" applyNumberFormat="1" applyFill="1" applyBorder="1" applyAlignment="1">
      <alignment wrapText="1"/>
    </xf>
    <xf numFmtId="0" fontId="0" fillId="0" borderId="5" xfId="0" applyBorder="1" applyAlignment="1">
      <alignment horizontal="right" wrapText="1"/>
    </xf>
    <xf numFmtId="0" fontId="0" fillId="5" borderId="5" xfId="0" applyFill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262759</xdr:colOff>
      <xdr:row>0</xdr:row>
      <xdr:rowOff>162361</xdr:rowOff>
    </xdr:from>
    <xdr:to>
      <xdr:col>14</xdr:col>
      <xdr:colOff>568435</xdr:colOff>
      <xdr:row>11</xdr:row>
      <xdr:rowOff>44788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B2294E-2EA7-4C3E-870F-543E13B8B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2026" y="162361"/>
          <a:ext cx="5774340" cy="2994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9"/>
  <sheetViews>
    <sheetView zoomScaleNormal="100" workbookViewId="0">
      <selection activeCell="F36" sqref="F36"/>
    </sheetView>
  </sheetViews>
  <sheetFormatPr defaultRowHeight="14.5" x14ac:dyDescent="0.35"/>
  <cols>
    <col min="2" max="2" width="12.90625" customWidth="1"/>
    <col min="3" max="3" width="11.36328125" customWidth="1"/>
    <col min="4" max="4" width="14.26953125" customWidth="1"/>
    <col min="5" max="5" width="12" customWidth="1"/>
    <col min="6" max="6" width="11.81640625" customWidth="1"/>
    <col min="7" max="7" width="12.08984375" customWidth="1"/>
    <col min="8" max="8" width="12.81640625" customWidth="1"/>
    <col min="9" max="9" width="12.1796875" customWidth="1"/>
    <col min="10" max="10" width="12.81640625" customWidth="1"/>
    <col min="11" max="11" width="10.90625" customWidth="1"/>
    <col min="12" max="12" width="14.08984375" customWidth="1"/>
    <col min="13" max="13" width="12.54296875" customWidth="1"/>
    <col min="14" max="14" width="10.7265625" customWidth="1"/>
    <col min="15" max="15" width="10.81640625" customWidth="1"/>
    <col min="16" max="16" width="11.7265625" style="42" customWidth="1"/>
  </cols>
  <sheetData>
    <row r="1" spans="2:15" ht="26" customHeight="1" x14ac:dyDescent="0.35">
      <c r="B1" s="104" t="s">
        <v>0</v>
      </c>
      <c r="C1" s="99"/>
      <c r="D1" s="99"/>
      <c r="E1" s="99"/>
      <c r="F1" s="99"/>
      <c r="G1" s="99"/>
    </row>
    <row r="2" spans="2:15" x14ac:dyDescent="0.35">
      <c r="B2" s="2"/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</row>
    <row r="3" spans="2:15" ht="38" customHeight="1" x14ac:dyDescent="0.35">
      <c r="B3" s="8" t="s">
        <v>6</v>
      </c>
      <c r="C3" s="1">
        <v>13195874</v>
      </c>
      <c r="D3" s="1">
        <v>14644927</v>
      </c>
      <c r="E3" s="1">
        <v>19088237</v>
      </c>
      <c r="F3" s="1">
        <v>20294000</v>
      </c>
      <c r="G3" s="1">
        <v>26303853</v>
      </c>
    </row>
    <row r="4" spans="2:15" ht="28" customHeight="1" thickBot="1" x14ac:dyDescent="0.4">
      <c r="B4" s="3" t="s">
        <v>7</v>
      </c>
      <c r="C4" s="65">
        <f>(C3*0.3)</f>
        <v>3958762.1999999997</v>
      </c>
      <c r="D4" s="65">
        <f>(D3*0.3)</f>
        <v>4393478.0999999996</v>
      </c>
      <c r="E4" s="65">
        <f>(E3*0.3)</f>
        <v>5726471.0999999996</v>
      </c>
      <c r="F4" s="65">
        <f>(F3*0.3)</f>
        <v>6088200</v>
      </c>
      <c r="G4" s="65">
        <f>(G3*0.3)</f>
        <v>7891155.8999999994</v>
      </c>
      <c r="J4" s="97" t="s">
        <v>8</v>
      </c>
      <c r="K4" s="98"/>
      <c r="L4" s="98"/>
      <c r="M4" s="98"/>
      <c r="N4" s="98"/>
      <c r="O4" s="98"/>
    </row>
    <row r="5" spans="2:15" ht="15" customHeight="1" thickTop="1" x14ac:dyDescent="0.35">
      <c r="B5" s="39" t="s">
        <v>9</v>
      </c>
      <c r="C5" s="40">
        <f>C3-C4</f>
        <v>9237111.8000000007</v>
      </c>
      <c r="D5" s="40">
        <f>D3-D4</f>
        <v>10251448.9</v>
      </c>
      <c r="E5" s="40">
        <f>E3-E4</f>
        <v>13361765.9</v>
      </c>
      <c r="F5" s="40">
        <f>F3-F4</f>
        <v>14205800</v>
      </c>
      <c r="G5" s="40">
        <f>G3-G4</f>
        <v>18412697.100000001</v>
      </c>
      <c r="J5" s="99"/>
      <c r="K5" s="99"/>
      <c r="L5" s="99"/>
      <c r="M5" s="99"/>
      <c r="N5" s="99"/>
      <c r="O5" s="99"/>
    </row>
    <row r="6" spans="2:15" x14ac:dyDescent="0.35">
      <c r="B6" s="7" t="s">
        <v>10</v>
      </c>
      <c r="C6" s="1">
        <v>5500000</v>
      </c>
      <c r="D6" s="1">
        <v>5800000</v>
      </c>
      <c r="E6" s="1">
        <v>6500000</v>
      </c>
      <c r="F6" s="1">
        <v>7500000</v>
      </c>
      <c r="G6" s="1">
        <v>8500000</v>
      </c>
      <c r="J6" s="23"/>
      <c r="K6" s="23" t="s">
        <v>1</v>
      </c>
      <c r="L6" s="23" t="s">
        <v>2</v>
      </c>
      <c r="M6" s="23" t="s">
        <v>3</v>
      </c>
      <c r="N6" s="23" t="s">
        <v>4</v>
      </c>
      <c r="O6" s="23" t="s">
        <v>5</v>
      </c>
    </row>
    <row r="7" spans="2:15" ht="28" customHeight="1" x14ac:dyDescent="0.35">
      <c r="B7" s="7" t="s">
        <v>11</v>
      </c>
      <c r="C7" s="66">
        <f>(K9)</f>
        <v>12000000</v>
      </c>
      <c r="D7" s="66">
        <f>(L9)</f>
        <v>17040000</v>
      </c>
      <c r="E7" s="66">
        <f>(M9)</f>
        <v>27081000</v>
      </c>
      <c r="F7" s="66">
        <f>(N9)</f>
        <v>32122000</v>
      </c>
      <c r="G7" s="66">
        <f>(O9)</f>
        <v>30165000</v>
      </c>
      <c r="J7" s="27" t="s">
        <v>12</v>
      </c>
      <c r="K7" s="67">
        <v>2000000</v>
      </c>
      <c r="L7" s="67">
        <v>2040000</v>
      </c>
      <c r="M7" s="67">
        <v>2081000</v>
      </c>
      <c r="N7" s="67">
        <v>2122000</v>
      </c>
      <c r="O7" s="67">
        <v>2165000</v>
      </c>
    </row>
    <row r="8" spans="2:15" ht="25" customHeight="1" thickBot="1" x14ac:dyDescent="0.4">
      <c r="B8" s="7" t="s">
        <v>13</v>
      </c>
      <c r="C8" s="6"/>
      <c r="D8" s="68">
        <f>L19</f>
        <v>349479.30000000005</v>
      </c>
      <c r="E8" s="68">
        <f>M19</f>
        <v>750642.60000000009</v>
      </c>
      <c r="F8" s="68">
        <f>N19</f>
        <v>475559</v>
      </c>
      <c r="G8" s="68">
        <f>O19</f>
        <v>1085828.6000000001</v>
      </c>
      <c r="J8" s="26" t="s">
        <v>14</v>
      </c>
      <c r="K8" s="69">
        <v>10000000</v>
      </c>
      <c r="L8" s="69">
        <v>15000000</v>
      </c>
      <c r="M8" s="69">
        <v>25000000</v>
      </c>
      <c r="N8" s="69">
        <v>30000000</v>
      </c>
      <c r="O8" s="69">
        <v>28000000</v>
      </c>
    </row>
    <row r="9" spans="2:15" ht="15" customHeight="1" thickTop="1" x14ac:dyDescent="0.35">
      <c r="B9" s="18" t="s">
        <v>15</v>
      </c>
      <c r="C9" s="19">
        <f>C5+C6-C8-C7</f>
        <v>2737111.8000000007</v>
      </c>
      <c r="D9" s="19">
        <f>D5+D6-D8-D7</f>
        <v>-1338030.4000000004</v>
      </c>
      <c r="E9" s="19">
        <f>E5+E6-E8-E7</f>
        <v>-7969876.700000003</v>
      </c>
      <c r="F9" s="19">
        <f>F5+F6-F8-F7</f>
        <v>-10891759</v>
      </c>
      <c r="G9" s="19">
        <f>G5+G6-G8-G7</f>
        <v>-4338131.5</v>
      </c>
      <c r="J9" s="37" t="s">
        <v>16</v>
      </c>
      <c r="K9" s="38">
        <v>12000000</v>
      </c>
      <c r="L9" s="38">
        <v>17040000</v>
      </c>
      <c r="M9" s="38">
        <v>27081000</v>
      </c>
      <c r="N9" s="70">
        <v>32122000</v>
      </c>
      <c r="O9" s="38">
        <v>30165000</v>
      </c>
    </row>
    <row r="13" spans="2:15" ht="20.5" customHeight="1" x14ac:dyDescent="0.35">
      <c r="B13" s="105" t="s">
        <v>17</v>
      </c>
      <c r="C13" s="98"/>
      <c r="D13" s="98"/>
      <c r="E13" s="98"/>
      <c r="F13" s="98"/>
    </row>
    <row r="14" spans="2:15" ht="28" customHeight="1" x14ac:dyDescent="0.35">
      <c r="B14" s="13" t="s">
        <v>18</v>
      </c>
      <c r="C14" s="13" t="s">
        <v>19</v>
      </c>
      <c r="D14" s="13" t="s">
        <v>15</v>
      </c>
      <c r="E14" s="14" t="s">
        <v>20</v>
      </c>
      <c r="F14" s="13" t="s">
        <v>21</v>
      </c>
      <c r="J14" s="97" t="s">
        <v>22</v>
      </c>
      <c r="K14" s="98"/>
      <c r="L14" s="98"/>
      <c r="M14" s="98"/>
      <c r="N14" s="98"/>
      <c r="O14" s="98"/>
    </row>
    <row r="15" spans="2:15" ht="14" customHeight="1" x14ac:dyDescent="0.35">
      <c r="B15" s="13" t="s">
        <v>1</v>
      </c>
      <c r="C15" s="42">
        <v>1</v>
      </c>
      <c r="D15" s="43">
        <f>C9</f>
        <v>2737111.8000000007</v>
      </c>
      <c r="E15" s="71">
        <f>( 1 / ((1 + P27)^C15))</f>
        <v>0.84253096301289065</v>
      </c>
      <c r="F15" s="72">
        <f>D15*E15</f>
        <v>2306101.4407279473</v>
      </c>
      <c r="J15" s="99"/>
      <c r="K15" s="99"/>
      <c r="L15" s="99"/>
      <c r="M15" s="99"/>
      <c r="N15" s="99"/>
      <c r="O15" s="99"/>
    </row>
    <row r="16" spans="2:15" x14ac:dyDescent="0.35">
      <c r="B16" s="13" t="s">
        <v>2</v>
      </c>
      <c r="C16" s="42">
        <v>2</v>
      </c>
      <c r="D16" s="43">
        <f>D9</f>
        <v>-1338030.4000000004</v>
      </c>
      <c r="E16" s="71">
        <f>( 1 / ((1 + P27)^C16))</f>
        <v>0.70985842363542895</v>
      </c>
      <c r="F16" s="72">
        <f>D16*E16</f>
        <v>-949812.15052028268</v>
      </c>
      <c r="J16" s="23"/>
      <c r="K16" s="23" t="s">
        <v>1</v>
      </c>
      <c r="L16" s="23" t="s">
        <v>2</v>
      </c>
      <c r="M16" s="23" t="s">
        <v>3</v>
      </c>
      <c r="N16" s="23" t="s">
        <v>4</v>
      </c>
      <c r="O16" s="23" t="s">
        <v>5</v>
      </c>
    </row>
    <row r="17" spans="2:16" x14ac:dyDescent="0.35">
      <c r="B17" s="13" t="s">
        <v>3</v>
      </c>
      <c r="C17" s="42">
        <v>3</v>
      </c>
      <c r="D17" s="43">
        <f>E9</f>
        <v>-7969876.700000003</v>
      </c>
      <c r="E17" s="71">
        <f>( 1 / ((1 + P27)^C17))</f>
        <v>0.59807770126837045</v>
      </c>
      <c r="F17" s="72">
        <f>D17*E17</f>
        <v>-4766605.5361283477</v>
      </c>
      <c r="J17" s="24" t="s">
        <v>23</v>
      </c>
      <c r="K17" s="73">
        <v>41341077</v>
      </c>
      <c r="L17" s="74">
        <v>44835870</v>
      </c>
      <c r="M17" s="74">
        <v>52342296</v>
      </c>
      <c r="N17" s="74">
        <v>57097886</v>
      </c>
      <c r="O17" s="75">
        <v>67956172</v>
      </c>
    </row>
    <row r="18" spans="2:16" x14ac:dyDescent="0.35">
      <c r="B18" s="13" t="s">
        <v>4</v>
      </c>
      <c r="C18" s="42">
        <v>4</v>
      </c>
      <c r="D18" s="43">
        <f>F9</f>
        <v>-10891759</v>
      </c>
      <c r="E18" s="71">
        <f>( 1 / ((1 + P27)^C18))</f>
        <v>0.50389898160617608</v>
      </c>
      <c r="F18" s="72">
        <f>D18*E18</f>
        <v>-5488346.2679999024</v>
      </c>
      <c r="J18" s="24" t="s">
        <v>24</v>
      </c>
      <c r="K18" s="4" t="s">
        <v>25</v>
      </c>
      <c r="L18" s="76">
        <f>L17-K17</f>
        <v>3494793</v>
      </c>
      <c r="M18" s="76">
        <f>M17-L17</f>
        <v>7506426</v>
      </c>
      <c r="N18" s="76">
        <f>N17-M17</f>
        <v>4755590</v>
      </c>
      <c r="O18" s="77">
        <f>O17-N17</f>
        <v>10858286</v>
      </c>
    </row>
    <row r="19" spans="2:16" x14ac:dyDescent="0.35">
      <c r="B19" s="13" t="s">
        <v>5</v>
      </c>
      <c r="C19" s="42">
        <v>5</v>
      </c>
      <c r="D19" s="43">
        <f>G9</f>
        <v>-4338131.5</v>
      </c>
      <c r="E19" s="71">
        <f>( 1 / ((1 + P27)^C19))</f>
        <v>0.42455049423386637</v>
      </c>
      <c r="F19" s="72">
        <f>D19*E19</f>
        <v>-1841755.8723765041</v>
      </c>
      <c r="J19" s="25" t="s">
        <v>26</v>
      </c>
      <c r="K19" s="5" t="s">
        <v>25</v>
      </c>
      <c r="L19" s="78">
        <f>L18*0.1</f>
        <v>349479.30000000005</v>
      </c>
      <c r="M19" s="78">
        <f>M18*0.1</f>
        <v>750642.60000000009</v>
      </c>
      <c r="N19" s="78">
        <f>N18*0.1</f>
        <v>475559</v>
      </c>
      <c r="O19" s="79">
        <f>O18*0.1</f>
        <v>1085828.6000000001</v>
      </c>
    </row>
    <row r="20" spans="2:16" x14ac:dyDescent="0.35">
      <c r="B20" s="16" t="s">
        <v>27</v>
      </c>
      <c r="C20" s="12"/>
      <c r="D20" s="12"/>
      <c r="E20" s="12"/>
      <c r="F20" s="80">
        <f>SUM(F15:F19)</f>
        <v>-10740418.38629709</v>
      </c>
    </row>
    <row r="21" spans="2:16" ht="15" customHeight="1" thickBot="1" x14ac:dyDescent="0.4">
      <c r="B21" s="13" t="s">
        <v>28</v>
      </c>
      <c r="D21" s="81">
        <f>P28</f>
        <v>78213226.619469032</v>
      </c>
      <c r="E21" s="71">
        <f>( 1 / ((1 + P27)^C19))</f>
        <v>0.42455049423386637</v>
      </c>
      <c r="F21" s="82">
        <f>D21*E21</f>
        <v>33205464.016920973</v>
      </c>
    </row>
    <row r="22" spans="2:16" ht="15" customHeight="1" thickTop="1" x14ac:dyDescent="0.35">
      <c r="B22" s="15" t="s">
        <v>29</v>
      </c>
      <c r="C22" s="17"/>
      <c r="D22" s="17"/>
      <c r="E22" s="17"/>
      <c r="F22" s="83">
        <f>SUM(F20:F21)</f>
        <v>22465045.630623884</v>
      </c>
      <c r="J22" s="100" t="s">
        <v>30</v>
      </c>
      <c r="K22" s="99"/>
      <c r="L22" s="99"/>
    </row>
    <row r="23" spans="2:16" x14ac:dyDescent="0.35">
      <c r="J23" s="102" t="s">
        <v>31</v>
      </c>
      <c r="K23" s="103"/>
      <c r="L23" s="41">
        <v>0.04</v>
      </c>
    </row>
    <row r="24" spans="2:16" ht="24" customHeight="1" x14ac:dyDescent="0.35">
      <c r="J24" s="101" t="s">
        <v>32</v>
      </c>
      <c r="K24" s="98"/>
      <c r="L24" s="22">
        <v>0.1</v>
      </c>
      <c r="N24" s="100" t="s">
        <v>28</v>
      </c>
      <c r="O24" s="99"/>
      <c r="P24" s="99"/>
    </row>
    <row r="25" spans="2:16" ht="15" customHeight="1" thickBot="1" x14ac:dyDescent="0.4">
      <c r="B25" s="100" t="s">
        <v>33</v>
      </c>
      <c r="C25" s="99"/>
      <c r="D25" s="99"/>
      <c r="J25" s="11" t="s">
        <v>30</v>
      </c>
      <c r="K25" s="12"/>
      <c r="L25" s="36">
        <f>L23 / L24</f>
        <v>0.39999999999999997</v>
      </c>
      <c r="N25" s="28" t="s">
        <v>34</v>
      </c>
      <c r="O25" s="29"/>
      <c r="P25" s="30">
        <f>L30</f>
        <v>11047618.260000002</v>
      </c>
    </row>
    <row r="26" spans="2:16" ht="15" customHeight="1" thickTop="1" x14ac:dyDescent="0.35">
      <c r="B26" s="102" t="s">
        <v>29</v>
      </c>
      <c r="C26" s="103"/>
      <c r="D26" s="84">
        <f>F22</f>
        <v>22465045.630623884</v>
      </c>
      <c r="N26" s="31" t="s">
        <v>35</v>
      </c>
      <c r="O26" s="32"/>
      <c r="P26" s="20">
        <f>L23</f>
        <v>0.04</v>
      </c>
    </row>
    <row r="27" spans="2:16" x14ac:dyDescent="0.35">
      <c r="B27" s="101" t="s">
        <v>36</v>
      </c>
      <c r="C27" s="98"/>
      <c r="D27" s="85">
        <f>L48</f>
        <v>8477995</v>
      </c>
      <c r="J27" s="100" t="s">
        <v>34</v>
      </c>
      <c r="K27" s="99"/>
      <c r="L27" s="99"/>
      <c r="N27" s="33" t="s">
        <v>37</v>
      </c>
      <c r="O27" s="34"/>
      <c r="P27" s="35">
        <v>0.18690000000000001</v>
      </c>
    </row>
    <row r="28" spans="2:16" ht="16" customHeight="1" thickBot="1" x14ac:dyDescent="0.4">
      <c r="B28" s="106" t="s">
        <v>38</v>
      </c>
      <c r="C28" s="98"/>
      <c r="D28" s="86">
        <f>SUM(D26:D27)</f>
        <v>30943040.630623884</v>
      </c>
      <c r="J28" s="102" t="s">
        <v>39</v>
      </c>
      <c r="K28" s="103"/>
      <c r="L28" s="21">
        <f>G5</f>
        <v>18412697.100000001</v>
      </c>
      <c r="N28" s="47" t="s">
        <v>28</v>
      </c>
      <c r="O28" s="17"/>
      <c r="P28" s="87">
        <f>(P25*(1 + P26)) / (P27 - P26)</f>
        <v>78213226.619469032</v>
      </c>
    </row>
    <row r="29" spans="2:16" ht="15" customHeight="1" thickTop="1" x14ac:dyDescent="0.35">
      <c r="J29" s="101" t="s">
        <v>30</v>
      </c>
      <c r="K29" s="98"/>
      <c r="L29" s="22">
        <f>L25</f>
        <v>0.39999999999999997</v>
      </c>
    </row>
    <row r="30" spans="2:16" ht="15" customHeight="1" thickBot="1" x14ac:dyDescent="0.4">
      <c r="J30" s="11" t="s">
        <v>34</v>
      </c>
      <c r="K30" s="12"/>
      <c r="L30" s="88">
        <f>L28*(1 - L29 )</f>
        <v>11047618.260000002</v>
      </c>
    </row>
    <row r="31" spans="2:16" ht="15" customHeight="1" thickTop="1" x14ac:dyDescent="0.35">
      <c r="B31" s="100" t="s">
        <v>40</v>
      </c>
      <c r="C31" s="99"/>
      <c r="D31" s="99"/>
    </row>
    <row r="32" spans="2:16" x14ac:dyDescent="0.35">
      <c r="B32" s="101" t="s">
        <v>41</v>
      </c>
      <c r="C32" s="98"/>
      <c r="D32" s="85">
        <v>18173299000</v>
      </c>
    </row>
    <row r="33" spans="2:12" ht="15" customHeight="1" thickBot="1" x14ac:dyDescent="0.4">
      <c r="B33" s="47" t="s">
        <v>40</v>
      </c>
      <c r="C33" s="17"/>
      <c r="D33" s="89">
        <f>(D28 * 1000) / D32</f>
        <v>1.7026650268959911</v>
      </c>
      <c r="J33" s="100" t="s">
        <v>110</v>
      </c>
      <c r="K33" s="99"/>
      <c r="L33" s="99"/>
    </row>
    <row r="34" spans="2:12" ht="15" customHeight="1" thickTop="1" x14ac:dyDescent="0.35">
      <c r="J34" s="101" t="s">
        <v>53</v>
      </c>
      <c r="K34" s="117"/>
      <c r="L34" s="118">
        <v>98394772</v>
      </c>
    </row>
    <row r="35" spans="2:12" x14ac:dyDescent="0.35">
      <c r="J35" s="101" t="s">
        <v>106</v>
      </c>
      <c r="K35" s="98"/>
      <c r="L35" s="118">
        <v>3309520</v>
      </c>
    </row>
    <row r="36" spans="2:12" x14ac:dyDescent="0.35">
      <c r="J36" s="101" t="s">
        <v>111</v>
      </c>
      <c r="K36" s="117"/>
      <c r="L36" s="118">
        <f>L34+L35</f>
        <v>101704292</v>
      </c>
    </row>
    <row r="37" spans="2:12" x14ac:dyDescent="0.35">
      <c r="J37" s="101" t="s">
        <v>107</v>
      </c>
      <c r="K37" s="98"/>
      <c r="L37" s="120">
        <v>0.19189999999999999</v>
      </c>
    </row>
    <row r="38" spans="2:12" ht="15" customHeight="1" x14ac:dyDescent="0.35">
      <c r="J38" s="101" t="s">
        <v>108</v>
      </c>
      <c r="K38" s="117"/>
      <c r="L38" s="120">
        <v>5.2499999999999998E-2</v>
      </c>
    </row>
    <row r="39" spans="2:12" ht="15" customHeight="1" x14ac:dyDescent="0.35">
      <c r="J39" s="101" t="s">
        <v>109</v>
      </c>
      <c r="K39" s="98"/>
      <c r="L39" s="121">
        <v>0.3</v>
      </c>
    </row>
    <row r="40" spans="2:12" ht="15" thickBot="1" x14ac:dyDescent="0.4">
      <c r="J40" s="11" t="s">
        <v>37</v>
      </c>
      <c r="K40" s="12"/>
      <c r="L40" s="119">
        <f>((L34 / L36) * L37) + ((L35 / L36) * L38 * (1 - L39) )</f>
        <v>0.18685132390282996</v>
      </c>
    </row>
    <row r="41" spans="2:12" ht="15" thickTop="1" x14ac:dyDescent="0.35"/>
    <row r="45" spans="2:12" x14ac:dyDescent="0.35">
      <c r="J45" s="100" t="s">
        <v>42</v>
      </c>
      <c r="K45" s="99"/>
      <c r="L45" s="99"/>
    </row>
    <row r="46" spans="2:12" x14ac:dyDescent="0.35">
      <c r="J46" s="102" t="s">
        <v>43</v>
      </c>
      <c r="K46" s="103"/>
      <c r="L46" s="90">
        <v>11787515</v>
      </c>
    </row>
    <row r="47" spans="2:12" x14ac:dyDescent="0.35">
      <c r="J47" s="101" t="s">
        <v>44</v>
      </c>
      <c r="K47" s="98"/>
      <c r="L47" s="91">
        <v>-3309520</v>
      </c>
    </row>
    <row r="48" spans="2:12" ht="15" thickBot="1" x14ac:dyDescent="0.4">
      <c r="J48" s="47" t="s">
        <v>36</v>
      </c>
      <c r="K48" s="17"/>
      <c r="L48" s="92">
        <f>L46 + L47</f>
        <v>8477995</v>
      </c>
    </row>
    <row r="49" spans="13:13" ht="15" thickTop="1" x14ac:dyDescent="0.35">
      <c r="M49" t="s">
        <v>112</v>
      </c>
    </row>
  </sheetData>
  <mergeCells count="27">
    <mergeCell ref="J35:K35"/>
    <mergeCell ref="J39:K39"/>
    <mergeCell ref="J38:K38"/>
    <mergeCell ref="J37:K37"/>
    <mergeCell ref="J36:K36"/>
    <mergeCell ref="B1:G1"/>
    <mergeCell ref="J47:K47"/>
    <mergeCell ref="J45:L45"/>
    <mergeCell ref="J14:O15"/>
    <mergeCell ref="J28:K28"/>
    <mergeCell ref="B27:C27"/>
    <mergeCell ref="J23:K23"/>
    <mergeCell ref="J24:K24"/>
    <mergeCell ref="J22:L22"/>
    <mergeCell ref="J46:K46"/>
    <mergeCell ref="B13:F13"/>
    <mergeCell ref="N24:P24"/>
    <mergeCell ref="B28:C28"/>
    <mergeCell ref="B25:D25"/>
    <mergeCell ref="J33:L33"/>
    <mergeCell ref="J34:K34"/>
    <mergeCell ref="J4:O5"/>
    <mergeCell ref="B31:D31"/>
    <mergeCell ref="B32:C32"/>
    <mergeCell ref="B26:C26"/>
    <mergeCell ref="J29:K29"/>
    <mergeCell ref="J27:L2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32"/>
  <sheetViews>
    <sheetView zoomScale="115" zoomScaleNormal="115" workbookViewId="0">
      <selection activeCell="G35" sqref="G35"/>
    </sheetView>
  </sheetViews>
  <sheetFormatPr defaultRowHeight="14.5" x14ac:dyDescent="0.35"/>
  <cols>
    <col min="2" max="2" width="15.1796875" customWidth="1"/>
    <col min="3" max="3" width="15.453125" style="42" customWidth="1"/>
    <col min="4" max="4" width="11.1796875" customWidth="1"/>
  </cols>
  <sheetData>
    <row r="2" spans="2:4" ht="22" customHeight="1" x14ac:dyDescent="0.35">
      <c r="B2" s="109" t="s">
        <v>45</v>
      </c>
      <c r="C2" s="108"/>
    </row>
    <row r="3" spans="2:4" x14ac:dyDescent="0.35">
      <c r="B3" s="44" t="s">
        <v>46</v>
      </c>
      <c r="C3" s="44" t="s">
        <v>47</v>
      </c>
    </row>
    <row r="4" spans="2:4" x14ac:dyDescent="0.35">
      <c r="B4" s="44" t="s">
        <v>37</v>
      </c>
      <c r="C4" s="10">
        <v>0.18690000000000001</v>
      </c>
    </row>
    <row r="5" spans="2:4" x14ac:dyDescent="0.35">
      <c r="B5" s="44" t="s">
        <v>48</v>
      </c>
      <c r="C5" s="42">
        <v>0.04</v>
      </c>
    </row>
    <row r="6" spans="2:4" x14ac:dyDescent="0.35">
      <c r="B6" s="44" t="s">
        <v>49</v>
      </c>
      <c r="C6" s="42">
        <v>0.1</v>
      </c>
    </row>
    <row r="7" spans="2:4" x14ac:dyDescent="0.35">
      <c r="B7" s="44" t="s">
        <v>50</v>
      </c>
      <c r="C7" s="45">
        <f>C5/C6</f>
        <v>0.39999999999999997</v>
      </c>
    </row>
    <row r="8" spans="2:4" x14ac:dyDescent="0.35">
      <c r="B8" s="44" t="s">
        <v>34</v>
      </c>
      <c r="C8" s="43">
        <f>DCF!G5*(1-C7)</f>
        <v>11047618.260000002</v>
      </c>
    </row>
    <row r="9" spans="2:4" x14ac:dyDescent="0.35">
      <c r="B9" s="44" t="s">
        <v>28</v>
      </c>
      <c r="C9" s="72">
        <f>(C8*(1+C5))/(C4-C5)</f>
        <v>78213226.619469032</v>
      </c>
    </row>
    <row r="10" spans="2:4" x14ac:dyDescent="0.35">
      <c r="B10" s="44" t="s">
        <v>51</v>
      </c>
      <c r="C10" s="72">
        <f>DCF!C9/(1+C4)^1 + DCF!D9/(1+C4)^2 + DCF!E9/(1+C4)^3 + DCF!F9/(1+C4)^4 + DCF!G9/(1+C4)^5</f>
        <v>-10740418.38629709</v>
      </c>
    </row>
    <row r="11" spans="2:4" x14ac:dyDescent="0.35">
      <c r="B11" s="44" t="s">
        <v>52</v>
      </c>
      <c r="C11" s="81">
        <f>C9/(1+C4)^5</f>
        <v>33205464.016920973</v>
      </c>
      <c r="D11" s="42"/>
    </row>
    <row r="12" spans="2:4" x14ac:dyDescent="0.35">
      <c r="B12" s="44" t="s">
        <v>29</v>
      </c>
      <c r="C12" s="81">
        <f>SUM(C10:C11)</f>
        <v>22465045.630623884</v>
      </c>
    </row>
    <row r="13" spans="2:4" x14ac:dyDescent="0.35">
      <c r="B13" s="44" t="s">
        <v>53</v>
      </c>
      <c r="C13" s="81">
        <f>C12+DCF!L48</f>
        <v>30943040.630623884</v>
      </c>
    </row>
    <row r="14" spans="2:4" x14ac:dyDescent="0.35">
      <c r="B14" s="47" t="s">
        <v>54</v>
      </c>
      <c r="C14" s="93">
        <f>(C13*1000)/DCF!D32</f>
        <v>1.7026650268959911</v>
      </c>
    </row>
    <row r="17" spans="2:6" ht="21.5" customHeight="1" x14ac:dyDescent="0.35">
      <c r="B17" s="107" t="s">
        <v>55</v>
      </c>
      <c r="C17" s="108"/>
      <c r="D17" s="98"/>
      <c r="E17" s="98"/>
      <c r="F17" s="98"/>
    </row>
    <row r="18" spans="2:6" x14ac:dyDescent="0.35">
      <c r="B18" s="44"/>
      <c r="C18" s="44" t="s">
        <v>127</v>
      </c>
      <c r="D18" s="44" t="s">
        <v>56</v>
      </c>
      <c r="E18" s="44" t="s">
        <v>57</v>
      </c>
      <c r="F18" s="44" t="s">
        <v>58</v>
      </c>
    </row>
    <row r="19" spans="2:6" ht="15.5" customHeight="1" x14ac:dyDescent="0.35">
      <c r="B19" s="46" t="s">
        <v>59</v>
      </c>
      <c r="C19" s="48">
        <v>0.14000000000000001</v>
      </c>
      <c r="D19" s="48">
        <v>0.16</v>
      </c>
      <c r="E19" s="49">
        <v>0.18690000000000001</v>
      </c>
      <c r="F19" s="48">
        <v>0.2</v>
      </c>
    </row>
    <row r="20" spans="2:6" x14ac:dyDescent="0.35">
      <c r="B20" s="48">
        <v>0.03</v>
      </c>
      <c r="C20" s="95">
        <f>((DCF!$C$9/(1+C$19)^1 + DCF!$D$9/(1+C$19)^2 + DCF!$E$9/(1+C$19)^3 + DCF!$F$9/(1+C$19)^4 + DCF!$G$9/(1+C$19)^5)
+ ((DCF!$G$5*(1-$B20/$C$6)*(1+$B20)/(C$19-$B20))/(1+C$19)^5)
+ DCF!$L$48) * 1000 / DCF!$D$32</f>
        <v>3.2162045885182491</v>
      </c>
      <c r="D20" s="95">
        <f>((DCF!$C$9/(1+D$19)^1 + DCF!$D$9/(1+D$19)^2 + DCF!$E$9/(1+D$19)^3 + DCF!$F$9/(1+D$19)^4 + DCF!$G$9/(1+D$19)^5)
+ ((DCF!$G$5*(1-$B20/$C$6)*(1+$B20)/(D$19-$B20))/(1+D$19)^5)
+ DCF!$L$48) * 1000 / DCF!$D$32</f>
        <v>2.491395173062366</v>
      </c>
      <c r="E20" s="95">
        <f>((DCF!$C$9/(1+E$19)^1 + DCF!$D$9/(1+E$19)^2 + DCF!$E$9/(1+E$19)^3 + DCF!$F$9/(1+E$19)^4 + DCF!$G$9/(1+E$19)^5)
+ ((DCF!$G$5*(1-$B20/$C$6)*(1+$B20)/(E$19-$B20))/(1+E$19)^5)
+ DCF!$L$48) * 1000 / DCF!$D$32</f>
        <v>1.8521380469406981</v>
      </c>
      <c r="F20" s="95">
        <f>((DCF!$C$9/(1+F$19)^1 + DCF!$D$9/(1+F$19)^2 + DCF!$E$9/(1+F$19)^3 + DCF!$F$9/(1+F$19)^4 + DCF!$G$9/(1+F$19)^5)
+ ((DCF!$G$5*(1-$B20/$C$6)*(1+$B20)/(F$19-$B20))/(1+F$19)^5)
+ DCF!$L$48) * 1000 / DCF!$D$32</f>
        <v>1.6290259627772352</v>
      </c>
    </row>
    <row r="21" spans="2:6" x14ac:dyDescent="0.35">
      <c r="B21" s="48">
        <v>0.04</v>
      </c>
      <c r="C21" s="95">
        <f>((DCF!$C$9/(1+C$19)^1 + DCF!$D$9/(1+C$19)^2 + DCF!$E$9/(1+C$19)^3 + DCF!$F$9/(1+C$19)^4 + DCF!$G$9/(1+C$19)^5)
+ ((DCF!$G$5*(1-$B21/$C$6)*(1+$B21)/(C$19-$B21))/(1+C$19)^5)
+ DCF!$L$48) * 1000 / DCF!$D$32</f>
        <v>3.0506875169952652</v>
      </c>
      <c r="D21" s="95">
        <f>((DCF!$C$9/(1+D$19)^1 + DCF!$D$9/(1+D$19)^2 + DCF!$E$9/(1+D$19)^3 + DCF!$F$9/(1+D$19)^4 + DCF!$G$9/(1+D$19)^5)
+ ((DCF!$G$5*(1-$B21/$C$6)*(1+$B21)/(D$19-$B21))/(1+D$19)^5)
+ DCF!$L$48) * 1000 / DCF!$D$32</f>
        <v>2.3244157899835387</v>
      </c>
      <c r="E21" s="95">
        <f>((DCF!$C$9/(1+E$19)^1 + DCF!$D$9/(1+E$19)^2 + DCF!$E$9/(1+E$19)^3 + DCF!$F$9/(1+E$19)^4 + DCF!$G$9/(1+E$19)^5)
+ ((DCF!$G$5*(1-$B21/$C$6)*(1+$B21)/(E$19-$B21))/(1+E$19)^5)
+ DCF!$L$48) * 1000 / DCF!$D$32</f>
        <v>1.7026650268959911</v>
      </c>
      <c r="F21" s="95">
        <f>((DCF!$C$9/(1+F$19)^1 + DCF!$D$9/(1+F$19)^2 + DCF!$E$9/(1+F$19)^3 + DCF!$F$9/(1+F$19)^4 + DCF!$G$9/(1+F$19)^5)
+ ((DCF!$G$5*(1-$B21/$C$6)*(1+$B21)/(F$19-$B21))/(1+F$19)^5)
+ DCF!$L$48) * 1000 / DCF!$D$32</f>
        <v>1.4901086163871511</v>
      </c>
    </row>
    <row r="22" spans="2:6" x14ac:dyDescent="0.35">
      <c r="B22" s="48">
        <v>0.05</v>
      </c>
      <c r="C22" s="95">
        <f>((DCF!$C$9/(1+C$19)^1 + DCF!$D$9/(1+C$19)^2 + DCF!$E$9/(1+C$19)^3 + DCF!$F$9/(1+C$19)^4 + DCF!$G$9/(1+C$19)^5)
+ ((DCF!$G$5*(1-$B22/$C$6)*(1+$B22)/(C$19-$B22))/(1+C$19)^5)
+ DCF!$L$48) * 1000 / DCF!$D$32</f>
        <v>2.8366953108451254</v>
      </c>
      <c r="D22" s="95">
        <f>((DCF!$C$9/(1+D$19)^1 + DCF!$D$9/(1+D$19)^2 + DCF!$E$9/(1+D$19)^3 + DCF!$F$9/(1+D$19)^4 + DCF!$G$9/(1+D$19)^5)
+ ((DCF!$G$5*(1-$B22/$C$6)*(1+$B22)/(D$19-$B22))/(1+D$19)^5)
+ DCF!$L$48) * 1000 / DCF!$D$32</f>
        <v>2.11830588480947</v>
      </c>
      <c r="E22" s="95">
        <f>((DCF!$C$9/(1+E$19)^1 + DCF!$D$9/(1+E$19)^2 + DCF!$E$9/(1+E$19)^3 + DCF!$F$9/(1+E$19)^4 + DCF!$G$9/(1+E$19)^5)
+ ((DCF!$G$5*(1-$B22/$C$6)*(1+$B22)/(E$19-$B22))/(1+E$19)^5)
+ DCF!$L$48) * 1000 / DCF!$D$32</f>
        <v>1.5250711401291659</v>
      </c>
      <c r="F22" s="95">
        <f>((DCF!$C$9/(1+F$19)^1 + DCF!$D$9/(1+F$19)^2 + DCF!$E$9/(1+F$19)^3 + DCF!$F$9/(1+F$19)^4 + DCF!$G$9/(1+F$19)^5)
+ ((DCF!$G$5*(1-$B22/$C$6)*(1+$B22)/(F$19-$B22))/(1+F$19)^5)
+ DCF!$L$48) * 1000 / DCF!$D$32</f>
        <v>1.3272400033780867</v>
      </c>
    </row>
    <row r="24" spans="2:6" ht="24.5" customHeight="1" x14ac:dyDescent="0.35">
      <c r="B24" s="107" t="s">
        <v>60</v>
      </c>
      <c r="C24" s="108"/>
      <c r="D24" s="98"/>
      <c r="E24" s="98"/>
      <c r="F24" s="98"/>
    </row>
    <row r="25" spans="2:6" x14ac:dyDescent="0.35">
      <c r="B25" s="44"/>
      <c r="C25" s="44" t="s">
        <v>127</v>
      </c>
      <c r="D25" s="44" t="s">
        <v>56</v>
      </c>
      <c r="E25" s="44" t="s">
        <v>57</v>
      </c>
      <c r="F25" s="44" t="s">
        <v>58</v>
      </c>
    </row>
    <row r="26" spans="2:6" x14ac:dyDescent="0.35">
      <c r="B26" s="46" t="s">
        <v>61</v>
      </c>
      <c r="C26" s="48">
        <v>0.14000000000000001</v>
      </c>
      <c r="D26" s="48">
        <v>0.16</v>
      </c>
      <c r="E26" s="49">
        <v>0.18690000000000001</v>
      </c>
      <c r="F26" s="48">
        <v>0.2</v>
      </c>
    </row>
    <row r="27" spans="2:6" x14ac:dyDescent="0.35">
      <c r="B27" s="48">
        <v>0.1</v>
      </c>
      <c r="C27" s="95">
        <f>((DCF!$C$9/(1+C$26)^1 + DCF!$D$9/(1+C$26)^2 + DCF!$E$9/(1+C$26)^3 + DCF!$F$9/(1+C$26)^4 + DCF!$G$9/(1+C$26)^5)
+ ((DCF!$G$5*(1-$C$5/$B27)*(1+$C$5)/(C$26-$C$5))/(1+C$26)^5)
+ DCF!$L$48) * 1000 / DCF!$D$32</f>
        <v>3.0506875169952652</v>
      </c>
      <c r="D27" s="95">
        <f>((DCF!$C$9/(1+D$26)^1 + DCF!$D$9/(1+D$26)^2 + DCF!$E$9/(1+D$26)^3 + DCF!$F$9/(1+D$26)^4 + DCF!$G$9/(1+D$26)^5)
+ ((DCF!$G$5*(1-$C$5/$B27)*(1+$C$5)/(D$26-$C$5))/(1+D$26)^5)
+ DCF!$L$48) * 1000 / DCF!$D$32</f>
        <v>2.3244157899835387</v>
      </c>
      <c r="E27" s="95">
        <f>((DCF!$C$9/(1+E$26)^1 + DCF!$D$9/(1+E$26)^2 + DCF!$E$9/(1+E$26)^3 + DCF!$F$9/(1+E$26)^4 + DCF!$G$9/(1+E$26)^5)
+ ((DCF!$G$5*(1-$C$5/$B27)*(1+$C$5)/(E$26-$C$5))/(1+E$26)^5)
+ DCF!$L$48) * 1000 / DCF!$D$32</f>
        <v>1.7026650268959911</v>
      </c>
      <c r="F27" s="95">
        <f>((DCF!$C$9/(1+F$26)^1 + DCF!$D$9/(1+F$26)^2 + DCF!$E$9/(1+F$26)^3 + DCF!$F$9/(1+F$26)^4 + DCF!$G$9/(1+F$26)^5)
+ ((DCF!$G$5*(1-$C$5/$B27)*(1+$C$5)/(F$26-$C$5))/(1+F$26)^5)
+ DCF!$L$48) * 1000 / DCF!$D$32</f>
        <v>1.4901086163871511</v>
      </c>
    </row>
    <row r="28" spans="2:6" x14ac:dyDescent="0.35">
      <c r="B28" s="48">
        <v>0.14000000000000001</v>
      </c>
      <c r="C28" s="95">
        <f>((DCF!$C$9/(1+C$26)^1 + DCF!$D$9/(1+C$26)^2 + DCF!$E$9/(1+C$26)^3 + DCF!$F$9/(1+C$26)^4 + DCF!$G$9/(1+C$26)^5)
+ ((DCF!$G$5*(1-$C$5/$B28)*(1+$C$5)/(C$26-$C$5))/(1+C$26)^5)
+ DCF!$L$48) * 1000 / DCF!$D$32</f>
        <v>3.6761260960945035</v>
      </c>
      <c r="D28" s="95">
        <f>((DCF!$C$9/(1+D$26)^1 + DCF!$D$9/(1+D$26)^2 + DCF!$E$9/(1+D$26)^3 + DCF!$F$9/(1+D$26)^4 + DCF!$G$9/(1+D$26)^5)
+ ((DCF!$G$5*(1-$C$5/$B28)*(1+$C$5)/(D$26-$C$5))/(1+D$26)^5)
+ DCF!$L$48) * 1000 / DCF!$D$32</f>
        <v>2.80220653267682</v>
      </c>
      <c r="E28" s="95">
        <f>((DCF!$C$9/(1+E$26)^1 + DCF!$D$9/(1+E$26)^2 + DCF!$E$9/(1+E$26)^3 + DCF!$F$9/(1+E$26)^4 + DCF!$G$9/(1+E$26)^5)
+ ((DCF!$G$5*(1-$C$5/$B28)*(1+$C$5)/(E$26-$C$5))/(1+E$26)^5)
+ DCF!$L$48) * 1000 / DCF!$D$32</f>
        <v>2.0506948639078253</v>
      </c>
      <c r="F28" s="95">
        <f>((DCF!$C$9/(1+F$26)^1 + DCF!$D$9/(1+F$26)^2 + DCF!$E$9/(1+F$26)^3 + DCF!$F$9/(1+F$26)^4 + DCF!$G$9/(1+F$26)^5)
+ ((DCF!$G$5*(1-$C$5/$B28)*(1+$C$5)/(F$26-$C$5))/(1+F$26)^5)
+ DCF!$L$48) * 1000 / DCF!$D$32</f>
        <v>1.7925788976896988</v>
      </c>
    </row>
    <row r="29" spans="2:6" x14ac:dyDescent="0.35">
      <c r="B29" s="49">
        <v>0.18690000000000001</v>
      </c>
      <c r="C29" s="95">
        <f>((DCF!$C$9/(1+C$26)^1 + DCF!$D$9/(1+C$26)^2 + DCF!$E$9/(1+C$26)^3 + DCF!$F$9/(1+C$26)^4 + DCF!$G$9/(1+C$26)^5)
+ ((DCF!$G$5*(1-$C$5/$B29)*(1+$C$5)/(C$26-$C$5))/(1+C$26)^5)
+ DCF!$L$48) * 1000 / DCF!$D$32</f>
        <v>4.0684892496492697</v>
      </c>
      <c r="D29" s="95">
        <f>((DCF!$C$9/(1+D$26)^1 + DCF!$D$9/(1+D$26)^2 + DCF!$E$9/(1+D$26)^3 + DCF!$F$9/(1+D$26)^4 + DCF!$G$9/(1+D$26)^5)
+ ((DCF!$G$5*(1-$C$5/$B29)*(1+$C$5)/(D$26-$C$5))/(1+D$26)^5)
+ DCF!$L$48) * 1000 / DCF!$D$32</f>
        <v>3.1019441708832787</v>
      </c>
      <c r="E29" s="95">
        <f>((DCF!$C$9/(1+E$26)^1 + DCF!$D$9/(1+E$26)^2 + DCF!$E$9/(1+E$26)^3 + DCF!$F$9/(1+E$26)^4 + DCF!$G$9/(1+E$26)^5)
+ ((DCF!$G$5*(1-$C$5/$B29)*(1+$C$5)/(E$26-$C$5))/(1+E$26)^5)
+ DCF!$L$48) * 1000 / DCF!$D$32</f>
        <v>2.2690281886249868</v>
      </c>
      <c r="F29" s="95">
        <f>((DCF!$C$9/(1+F$26)^1 + DCF!$D$9/(1+F$26)^2 + DCF!$E$9/(1+F$26)^3 + DCF!$F$9/(1+F$26)^4 + DCF!$G$9/(1+F$26)^5)
+ ((DCF!$G$5*(1-$C$5/$B29)*(1+$C$5)/(F$26-$C$5))/(1+F$26)^5)
+ DCF!$L$48) * 1000 / DCF!$D$32</f>
        <v>1.9823308531884885</v>
      </c>
    </row>
    <row r="32" spans="2:6" x14ac:dyDescent="0.35">
      <c r="E32" s="96"/>
    </row>
  </sheetData>
  <mergeCells count="3">
    <mergeCell ref="B17:F17"/>
    <mergeCell ref="B2:C2"/>
    <mergeCell ref="B24:F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43"/>
  <sheetViews>
    <sheetView tabSelected="1" zoomScale="115" zoomScaleNormal="115" workbookViewId="0">
      <selection activeCell="E30" sqref="E30"/>
    </sheetView>
  </sheetViews>
  <sheetFormatPr defaultRowHeight="14.5" x14ac:dyDescent="0.35"/>
  <cols>
    <col min="2" max="2" width="8.7265625" customWidth="1"/>
    <col min="4" max="4" width="9" bestFit="1" customWidth="1"/>
    <col min="6" max="6" width="23.7265625" customWidth="1"/>
    <col min="7" max="7" width="13" customWidth="1"/>
    <col min="8" max="8" width="11" customWidth="1"/>
    <col min="9" max="9" width="18.54296875" customWidth="1"/>
    <col min="14" max="14" width="18.453125" style="122" customWidth="1"/>
    <col min="15" max="15" width="12.7265625" style="122" customWidth="1"/>
    <col min="16" max="16" width="37.1796875" style="122" customWidth="1"/>
  </cols>
  <sheetData>
    <row r="2" spans="1:9" x14ac:dyDescent="0.35">
      <c r="B2" s="109" t="s">
        <v>62</v>
      </c>
      <c r="C2" s="98"/>
      <c r="D2" s="98"/>
      <c r="E2" s="98"/>
      <c r="F2" s="98"/>
      <c r="G2" s="98"/>
    </row>
    <row r="3" spans="1:9" x14ac:dyDescent="0.35">
      <c r="B3" s="115" t="s">
        <v>63</v>
      </c>
      <c r="C3" s="98"/>
      <c r="D3" s="98"/>
      <c r="E3" s="50"/>
      <c r="F3" s="50" t="s">
        <v>64</v>
      </c>
      <c r="G3" s="50" t="s">
        <v>65</v>
      </c>
    </row>
    <row r="4" spans="1:9" x14ac:dyDescent="0.35">
      <c r="B4" s="114" t="s">
        <v>66</v>
      </c>
      <c r="C4" s="98"/>
      <c r="D4" s="98"/>
      <c r="E4" s="42"/>
      <c r="F4" s="42">
        <v>12.98</v>
      </c>
      <c r="G4" s="42">
        <v>3.81</v>
      </c>
    </row>
    <row r="5" spans="1:9" x14ac:dyDescent="0.35">
      <c r="B5" s="114" t="s">
        <v>67</v>
      </c>
      <c r="C5" s="98"/>
      <c r="D5" s="98"/>
      <c r="E5" s="42"/>
      <c r="F5" s="42">
        <v>17.059999999999999</v>
      </c>
      <c r="G5" s="42">
        <v>11.09</v>
      </c>
    </row>
    <row r="6" spans="1:9" x14ac:dyDescent="0.35">
      <c r="B6" s="114" t="s">
        <v>68</v>
      </c>
      <c r="C6" s="98"/>
      <c r="D6" s="98"/>
      <c r="E6" s="42"/>
      <c r="F6" s="51" t="s">
        <v>69</v>
      </c>
      <c r="G6" s="42">
        <v>6.03</v>
      </c>
    </row>
    <row r="7" spans="1:9" x14ac:dyDescent="0.35">
      <c r="B7" s="116" t="s">
        <v>70</v>
      </c>
      <c r="C7" s="98"/>
      <c r="D7" s="98"/>
      <c r="E7" s="11"/>
      <c r="F7" s="11">
        <f>SUM(F4:F5) / 2</f>
        <v>15.02</v>
      </c>
      <c r="G7" s="52">
        <f>SUM(G4:G6) / 3</f>
        <v>6.9766666666666666</v>
      </c>
    </row>
    <row r="10" spans="1:9" ht="19.5" customHeight="1" x14ac:dyDescent="0.35">
      <c r="A10" s="109" t="s">
        <v>71</v>
      </c>
      <c r="B10" s="98"/>
      <c r="C10" s="98"/>
      <c r="D10" s="98"/>
      <c r="F10" s="107" t="s">
        <v>72</v>
      </c>
      <c r="G10" s="98"/>
      <c r="H10" s="98"/>
      <c r="I10" s="98"/>
    </row>
    <row r="11" spans="1:9" x14ac:dyDescent="0.35">
      <c r="A11" s="115" t="s">
        <v>73</v>
      </c>
      <c r="B11" s="98"/>
      <c r="C11" s="42"/>
      <c r="D11" s="42">
        <v>0.41120000000000001</v>
      </c>
      <c r="F11" s="115" t="s">
        <v>74</v>
      </c>
      <c r="G11" s="98"/>
      <c r="I11" s="42">
        <v>0.41120000000000001</v>
      </c>
    </row>
    <row r="12" spans="1:9" x14ac:dyDescent="0.35">
      <c r="A12" s="115" t="s">
        <v>75</v>
      </c>
      <c r="B12" s="98"/>
      <c r="C12" s="42"/>
      <c r="D12" s="42">
        <f>F7</f>
        <v>15.02</v>
      </c>
      <c r="F12" s="115" t="s">
        <v>76</v>
      </c>
      <c r="G12" s="98"/>
      <c r="I12" s="54">
        <f>G7</f>
        <v>6.9766666666666666</v>
      </c>
    </row>
    <row r="13" spans="1:9" x14ac:dyDescent="0.35">
      <c r="A13" s="111" t="s">
        <v>77</v>
      </c>
      <c r="B13" s="98"/>
      <c r="C13" s="47"/>
      <c r="D13" s="95">
        <f>D11*D12</f>
        <v>6.1762240000000004</v>
      </c>
      <c r="F13" s="115" t="s">
        <v>78</v>
      </c>
      <c r="G13" s="98"/>
      <c r="I13" s="94">
        <v>112121000000</v>
      </c>
    </row>
    <row r="14" spans="1:9" x14ac:dyDescent="0.35">
      <c r="A14" s="115" t="s">
        <v>79</v>
      </c>
      <c r="B14" s="98"/>
      <c r="C14" s="42"/>
      <c r="D14" s="94">
        <v>9</v>
      </c>
      <c r="F14" s="112" t="s">
        <v>80</v>
      </c>
      <c r="G14" s="98"/>
      <c r="I14" s="94">
        <v>8477995000</v>
      </c>
    </row>
    <row r="15" spans="1:9" x14ac:dyDescent="0.35">
      <c r="A15" s="115" t="s">
        <v>81</v>
      </c>
      <c r="B15" s="98"/>
      <c r="C15" s="42"/>
      <c r="D15" s="55">
        <f>((D14 - D13)) / D14</f>
        <v>0.31375288888888886</v>
      </c>
      <c r="F15" s="115" t="s">
        <v>82</v>
      </c>
      <c r="G15" s="98"/>
      <c r="I15" s="94">
        <f>SUM(I13:I14)</f>
        <v>120598995000</v>
      </c>
    </row>
    <row r="16" spans="1:9" x14ac:dyDescent="0.35">
      <c r="A16" s="42"/>
      <c r="B16" s="42"/>
      <c r="C16" s="42"/>
      <c r="D16" s="42"/>
      <c r="F16" s="115" t="s">
        <v>83</v>
      </c>
      <c r="G16" s="98"/>
      <c r="I16" s="43">
        <v>18173299000</v>
      </c>
    </row>
    <row r="17" spans="1:9" x14ac:dyDescent="0.35">
      <c r="A17" s="42"/>
      <c r="B17" s="42"/>
      <c r="C17" s="42"/>
      <c r="D17" s="42"/>
      <c r="F17" s="111" t="s">
        <v>77</v>
      </c>
      <c r="G17" s="98"/>
      <c r="H17" s="47"/>
      <c r="I17" s="95">
        <f>I15 / I16</f>
        <v>6.636054081320073</v>
      </c>
    </row>
    <row r="18" spans="1:9" x14ac:dyDescent="0.35">
      <c r="A18" s="42"/>
      <c r="B18" s="42"/>
      <c r="C18" s="42"/>
      <c r="D18" s="42"/>
      <c r="F18" s="115" t="s">
        <v>79</v>
      </c>
      <c r="G18" s="98"/>
      <c r="H18" s="42"/>
      <c r="I18" s="94">
        <v>9</v>
      </c>
    </row>
    <row r="19" spans="1:9" x14ac:dyDescent="0.35">
      <c r="A19" s="109" t="s">
        <v>84</v>
      </c>
      <c r="B19" s="98"/>
      <c r="C19" s="98"/>
      <c r="D19" s="98"/>
      <c r="F19" s="115" t="s">
        <v>81</v>
      </c>
      <c r="G19" s="98"/>
      <c r="I19" s="53">
        <f>((I18 - I17)) / I18</f>
        <v>0.26266065763110302</v>
      </c>
    </row>
    <row r="20" spans="1:9" x14ac:dyDescent="0.35">
      <c r="A20" s="115" t="s">
        <v>73</v>
      </c>
      <c r="B20" s="98"/>
      <c r="C20" s="42"/>
      <c r="D20" s="42">
        <v>0.41120000000000001</v>
      </c>
    </row>
    <row r="21" spans="1:9" x14ac:dyDescent="0.35">
      <c r="A21" s="115" t="s">
        <v>75</v>
      </c>
      <c r="B21" s="98"/>
      <c r="C21" s="42"/>
      <c r="D21" s="42">
        <v>11</v>
      </c>
    </row>
    <row r="22" spans="1:9" x14ac:dyDescent="0.35">
      <c r="A22" s="111" t="s">
        <v>77</v>
      </c>
      <c r="B22" s="98"/>
      <c r="C22" s="47"/>
      <c r="D22" s="95">
        <f>D20*D21</f>
        <v>4.5232000000000001</v>
      </c>
      <c r="F22" s="107" t="s">
        <v>85</v>
      </c>
      <c r="G22" s="98"/>
      <c r="H22" s="98"/>
      <c r="I22" s="98"/>
    </row>
    <row r="23" spans="1:9" x14ac:dyDescent="0.35">
      <c r="A23" s="115" t="s">
        <v>79</v>
      </c>
      <c r="B23" s="98"/>
      <c r="C23" s="42"/>
      <c r="D23" s="94">
        <v>9</v>
      </c>
      <c r="F23" s="56" t="s">
        <v>86</v>
      </c>
      <c r="G23" s="114" t="s">
        <v>87</v>
      </c>
      <c r="H23" s="98"/>
      <c r="I23" s="56" t="s">
        <v>88</v>
      </c>
    </row>
    <row r="24" spans="1:9" x14ac:dyDescent="0.35">
      <c r="A24" s="115" t="s">
        <v>81</v>
      </c>
      <c r="B24" s="98"/>
      <c r="C24" s="42"/>
      <c r="D24" s="55">
        <f>((D23 - D22)) / D23</f>
        <v>0.49742222222222221</v>
      </c>
      <c r="F24" s="56" t="s">
        <v>89</v>
      </c>
      <c r="G24" s="110">
        <f>D13</f>
        <v>6.1762240000000004</v>
      </c>
      <c r="H24" s="98"/>
      <c r="I24" s="57">
        <v>-0.31</v>
      </c>
    </row>
    <row r="25" spans="1:9" x14ac:dyDescent="0.35">
      <c r="F25" s="56" t="s">
        <v>90</v>
      </c>
      <c r="G25" s="110">
        <f>I17</f>
        <v>6.636054081320073</v>
      </c>
      <c r="H25" s="98"/>
      <c r="I25" s="58">
        <v>-0.26</v>
      </c>
    </row>
    <row r="26" spans="1:9" x14ac:dyDescent="0.35">
      <c r="F26" s="56" t="s">
        <v>91</v>
      </c>
      <c r="G26" s="110">
        <f>D22</f>
        <v>4.5232000000000001</v>
      </c>
      <c r="H26" s="98"/>
      <c r="I26" s="51" t="s">
        <v>92</v>
      </c>
    </row>
    <row r="27" spans="1:9" x14ac:dyDescent="0.35">
      <c r="F27" s="11" t="s">
        <v>93</v>
      </c>
      <c r="G27" s="113" t="s">
        <v>94</v>
      </c>
      <c r="H27" s="98"/>
      <c r="I27" s="59" t="s">
        <v>95</v>
      </c>
    </row>
    <row r="36" spans="14:16" x14ac:dyDescent="0.35">
      <c r="N36" s="107" t="s">
        <v>126</v>
      </c>
      <c r="O36" s="107"/>
      <c r="P36" s="107"/>
    </row>
    <row r="37" spans="14:16" x14ac:dyDescent="0.35">
      <c r="N37" s="123" t="s">
        <v>125</v>
      </c>
      <c r="O37" s="123" t="s">
        <v>113</v>
      </c>
      <c r="P37" s="123" t="s">
        <v>114</v>
      </c>
    </row>
    <row r="38" spans="14:16" x14ac:dyDescent="0.35">
      <c r="N38" s="124" t="s">
        <v>115</v>
      </c>
      <c r="O38" s="125">
        <v>0.12640000000000001</v>
      </c>
      <c r="P38" s="126" t="s">
        <v>116</v>
      </c>
    </row>
    <row r="39" spans="14:16" x14ac:dyDescent="0.35">
      <c r="N39" s="124" t="s">
        <v>117</v>
      </c>
      <c r="O39" s="127">
        <v>0.47</v>
      </c>
      <c r="P39" s="126" t="s">
        <v>118</v>
      </c>
    </row>
    <row r="40" spans="14:16" ht="29" x14ac:dyDescent="0.35">
      <c r="N40" s="124" t="s">
        <v>119</v>
      </c>
      <c r="O40" s="125">
        <v>0.1394</v>
      </c>
      <c r="P40" s="126" t="s">
        <v>120</v>
      </c>
    </row>
    <row r="41" spans="14:16" x14ac:dyDescent="0.35">
      <c r="N41" s="124" t="s">
        <v>37</v>
      </c>
      <c r="O41" s="125">
        <v>0.18690000000000001</v>
      </c>
      <c r="P41" s="126" t="s">
        <v>121</v>
      </c>
    </row>
    <row r="42" spans="14:16" ht="29" x14ac:dyDescent="0.35">
      <c r="N42" s="124" t="s">
        <v>122</v>
      </c>
      <c r="O42" s="125">
        <v>0.04</v>
      </c>
      <c r="P42" s="126" t="s">
        <v>123</v>
      </c>
    </row>
    <row r="43" spans="14:16" ht="29" x14ac:dyDescent="0.35">
      <c r="N43" s="124" t="s">
        <v>49</v>
      </c>
      <c r="O43" s="125">
        <v>0.1</v>
      </c>
      <c r="P43" s="126" t="s">
        <v>124</v>
      </c>
    </row>
  </sheetData>
  <mergeCells count="35">
    <mergeCell ref="N36:P36"/>
    <mergeCell ref="B2:G2"/>
    <mergeCell ref="A24:B24"/>
    <mergeCell ref="F11:G11"/>
    <mergeCell ref="A15:B15"/>
    <mergeCell ref="F16:G16"/>
    <mergeCell ref="A11:B11"/>
    <mergeCell ref="F19:G19"/>
    <mergeCell ref="B6:D6"/>
    <mergeCell ref="B5:D5"/>
    <mergeCell ref="B4:D4"/>
    <mergeCell ref="B7:D7"/>
    <mergeCell ref="A22:B22"/>
    <mergeCell ref="A20:B20"/>
    <mergeCell ref="B3:D3"/>
    <mergeCell ref="A10:D10"/>
    <mergeCell ref="F12:G12"/>
    <mergeCell ref="F15:G15"/>
    <mergeCell ref="F18:G18"/>
    <mergeCell ref="F10:I10"/>
    <mergeCell ref="F17:G17"/>
    <mergeCell ref="A12:B12"/>
    <mergeCell ref="A14:B14"/>
    <mergeCell ref="F13:G13"/>
    <mergeCell ref="G25:H25"/>
    <mergeCell ref="A13:B13"/>
    <mergeCell ref="F14:G14"/>
    <mergeCell ref="F22:I22"/>
    <mergeCell ref="G27:H27"/>
    <mergeCell ref="G23:H23"/>
    <mergeCell ref="A19:D19"/>
    <mergeCell ref="A21:B21"/>
    <mergeCell ref="G24:H24"/>
    <mergeCell ref="A23:B23"/>
    <mergeCell ref="G26:H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9"/>
  <sheetViews>
    <sheetView zoomScale="116" workbookViewId="0">
      <selection activeCell="P12" sqref="P12"/>
    </sheetView>
  </sheetViews>
  <sheetFormatPr defaultRowHeight="14.5" x14ac:dyDescent="0.35"/>
  <cols>
    <col min="2" max="2" width="17.81640625" customWidth="1"/>
    <col min="3" max="4" width="8.7265625" customWidth="1"/>
    <col min="5" max="5" width="11.26953125" customWidth="1"/>
  </cols>
  <sheetData>
    <row r="2" spans="2:5" ht="23" customHeight="1" x14ac:dyDescent="0.35">
      <c r="B2" s="62" t="s">
        <v>86</v>
      </c>
      <c r="C2" s="62" t="s">
        <v>96</v>
      </c>
      <c r="D2" s="62" t="s">
        <v>97</v>
      </c>
      <c r="E2" s="62" t="s">
        <v>98</v>
      </c>
    </row>
    <row r="3" spans="2:5" ht="24.5" customHeight="1" x14ac:dyDescent="0.35">
      <c r="B3" s="63" t="s">
        <v>99</v>
      </c>
      <c r="C3" s="60">
        <v>1.7</v>
      </c>
      <c r="D3" s="60">
        <v>1.7</v>
      </c>
      <c r="E3" s="60">
        <v>1.7</v>
      </c>
    </row>
    <row r="4" spans="2:5" ht="28" customHeight="1" x14ac:dyDescent="0.35">
      <c r="B4" s="63" t="s">
        <v>100</v>
      </c>
      <c r="C4" s="60">
        <v>1.33</v>
      </c>
      <c r="D4" s="60">
        <v>3.65</v>
      </c>
      <c r="E4" s="60">
        <v>2.4900000000000002</v>
      </c>
    </row>
    <row r="5" spans="2:5" ht="26.5" customHeight="1" x14ac:dyDescent="0.35">
      <c r="B5" s="63" t="s">
        <v>101</v>
      </c>
      <c r="C5" s="60">
        <v>6.18</v>
      </c>
      <c r="D5" s="60">
        <v>6.18</v>
      </c>
      <c r="E5" s="60">
        <v>6.18</v>
      </c>
    </row>
    <row r="6" spans="2:5" ht="33" customHeight="1" x14ac:dyDescent="0.35">
      <c r="B6" s="63" t="s">
        <v>102</v>
      </c>
      <c r="C6" s="60">
        <v>6.64</v>
      </c>
      <c r="D6" s="60">
        <v>6.64</v>
      </c>
      <c r="E6" s="60">
        <v>6.64</v>
      </c>
    </row>
    <row r="7" spans="2:5" ht="26.5" customHeight="1" x14ac:dyDescent="0.35">
      <c r="B7" s="63" t="s">
        <v>103</v>
      </c>
      <c r="C7" s="60">
        <v>4.53</v>
      </c>
      <c r="D7" s="60">
        <v>4.53</v>
      </c>
      <c r="E7" s="60">
        <v>4.53</v>
      </c>
    </row>
    <row r="8" spans="2:5" ht="26.5" customHeight="1" x14ac:dyDescent="0.35">
      <c r="B8" s="63" t="s">
        <v>104</v>
      </c>
      <c r="C8" s="60">
        <v>4.6100000000000003</v>
      </c>
      <c r="D8" s="60">
        <v>6.35</v>
      </c>
      <c r="E8" s="60">
        <v>5.48</v>
      </c>
    </row>
    <row r="9" spans="2:5" ht="14" customHeight="1" x14ac:dyDescent="0.35">
      <c r="B9" s="64" t="s">
        <v>105</v>
      </c>
      <c r="C9" s="61">
        <v>9</v>
      </c>
      <c r="D9" s="61">
        <v>9</v>
      </c>
      <c r="E9" s="61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DCF</vt:lpstr>
      <vt:lpstr>Sensitivity Analysis</vt:lpstr>
      <vt:lpstr>Relative Valuation</vt:lpstr>
      <vt:lpstr>Football Field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Kimani</dc:creator>
  <cp:lastModifiedBy>Kimani</cp:lastModifiedBy>
  <dcterms:created xsi:type="dcterms:W3CDTF">2026-10-13T09:17:03Z</dcterms:created>
  <dcterms:modified xsi:type="dcterms:W3CDTF">2026-10-15T14:44:56Z</dcterms:modified>
</cp:coreProperties>
</file>